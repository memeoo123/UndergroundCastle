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51" windowHeight="6144" activeTab="3"/>
  </bookViews>
  <sheets>
    <sheet name="1-基础属性说明" sheetId="1" r:id="rId1"/>
    <sheet name="2-公式表" sheetId="2" r:id="rId2"/>
    <sheet name="3-常数表" sheetId="3" r:id="rId3"/>
    <sheet name="4-标准士兵表" sheetId="4" r:id="rId4"/>
    <sheet name="5-标准敌人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<sst xmlns="http://schemas.openxmlformats.org/spreadsheetml/2006/main" count="103" uniqueCount="61">
  <si>
    <t>公式名称</t>
  </si>
  <si>
    <t>公式表达式（策划可调）</t>
  </si>
  <si>
    <t>参数说明</t>
  </si>
  <si>
    <t>备注</t>
  </si>
  <si>
    <t>实际伤害</t>
  </si>
  <si>
    <t>实际伤害 = 基础伤害 - 防御</t>
  </si>
  <si>
    <t>基础伤害来自攻击×技能倍率等</t>
  </si>
  <si>
    <t>先算基础伤害再乘(1-减伤率)</t>
  </si>
  <si>
    <t>基础伤害</t>
  </si>
  <si>
    <t>基础伤害 = 攻击 × 技能倍率 × (1 ± 克制系数)</t>
  </si>
  <si>
    <t>技能倍率、克制系数在技能表配置</t>
  </si>
  <si>
    <t>暴击时再乘暴击伤害倍率</t>
  </si>
  <si>
    <t>暴击判定</t>
  </si>
  <si>
    <t>若 rand() &lt; 暴击率 则 伤害 × 暴击伤害</t>
  </si>
  <si>
    <t>rand()为0~1随机数</t>
  </si>
  <si>
    <t>可设暴击率上限如80%</t>
  </si>
  <si>
    <t>刀数（节奏指标）</t>
  </si>
  <si>
    <t>刀数 = 怪物血量 / 玩家单次有效伤害（向上取整）</t>
  </si>
  <si>
    <t>即击败一只怪所需攻击次数；用于控制战斗节奏</t>
  </si>
  <si>
    <t>设计目标：普通战约10刀，简单6~8刀，难12~15刀，Boss可更高</t>
  </si>
  <si>
    <t>ATB时间条增速</t>
  </si>
  <si>
    <t>每秒增加量 = 速度 × atb_speed_factor</t>
  </si>
  <si>
    <t>速度=10 时 1 秒满条 = 1 秒 1 刀；按兵种调速度即调攻击节奏</t>
  </si>
  <si>
    <t>--</t>
  </si>
  <si>
    <t>治疗量</t>
  </si>
  <si>
    <t>治疗量 = 治疗基础值 × (1 + 治疗加成%)</t>
  </si>
  <si>
    <t>治疗基础值来自技能或属性</t>
  </si>
  <si>
    <t>可再受防御/抗性影响（若需要）</t>
  </si>
  <si>
    <t>护盾值</t>
  </si>
  <si>
    <t>护盾 = 吸收量，优先扣除护盾再扣血</t>
  </si>
  <si>
    <t>吸收量来自技能或属性</t>
  </si>
  <si>
    <t>多源护盾可叠加或取高由设计定</t>
  </si>
  <si>
    <t>减伤率</t>
  </si>
  <si>
    <t>减伤率 = 防御 / (防御 + K_def)</t>
  </si>
  <si>
    <t>K_def：常数，控制防御边际递减，如200、500</t>
  </si>
  <si>
    <t>防御越高减伤越趋近100%，永不为0伤害</t>
  </si>
  <si>
    <t>实际伤害 = 基础伤害 × (1 - 减伤率)</t>
  </si>
  <si>
    <t>参数名</t>
  </si>
  <si>
    <t>建议值</t>
  </si>
  <si>
    <t>说明</t>
  </si>
  <si>
    <t>K_def</t>
  </si>
  <si>
    <t>减伤率公式 防御/(防御+K_def)，层数高可适当加大</t>
  </si>
  <si>
    <t>atb_max</t>
  </si>
  <si>
    <t>ATB时间条满值（满即行动）</t>
  </si>
  <si>
    <t>atb_speed_factor</t>
  </si>
  <si>
    <t>每秒增量 = 速度×此系数；atb_speed_factor = atb_max/speed_baseline</t>
  </si>
  <si>
    <t>target_hits_normal</t>
  </si>
  <si>
    <t>普通战斗目标刀数（击败单怪所需攻击次数），用于反推血量与节奏</t>
  </si>
  <si>
    <t>min_damage</t>
  </si>
  <si>
    <t>最低攻击</t>
  </si>
  <si>
    <t>阶数</t>
  </si>
  <si>
    <t>攻击</t>
  </si>
  <si>
    <t>血量</t>
  </si>
  <si>
    <t>防御</t>
  </si>
  <si>
    <t>队伍数量</t>
  </si>
  <si>
    <t>攻击同等阶敌人刀数</t>
  </si>
  <si>
    <t>攻击上一阶敌人刀数</t>
  </si>
  <si>
    <t>攻击下一阶敌人刀数</t>
  </si>
  <si>
    <t>攻击同等阶士兵刀数（士兵x上阵数量）</t>
  </si>
  <si>
    <t>攻击上一阶士兵刀数</t>
  </si>
  <si>
    <t>攻击下一阶士兵刀数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</si>
</sst>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B11" sqref="B11"/>
    </sheetView>
  </sheetViews>
  <sheetFormatPr defaultColWidth="9" defaultRowHeight="14.4" outlineLevelCol="5"/>
  <cols>
    <col min="1" max="1" width="23.1111111111111" customWidth="1"/>
    <col min="2" max="2" width="79.7777777777778" customWidth="1"/>
    <col min="3" max="3" width="59.5555555555556" customWidth="1"/>
    <col min="4" max="4" width="96.5555555555556" customWidth="1"/>
    <col min="5" max="5" width="21.5555555555556" customWidth="1"/>
    <col min="6" max="6" width="28.2222222222222" customWidth="1"/>
    <col min="7" max="7" width="39.5555555555556" customWidth="1"/>
  </cols>
  <sheetData>
    <row r="1" customFormat="1" spans="1:6">
      <c r="A1" s="4" t="s">
        <v>0</v>
      </c>
      <c r="B1" s="4" t="s">
        <v>1</v>
      </c>
      <c r="C1" s="4" t="s">
        <v>2</v>
      </c>
      <c r="D1" s="4" t="s">
        <v>3</v>
      </c>
      <c r="E1" s="3"/>
      <c r="F1" s="3"/>
    </row>
    <row r="2" customFormat="1" spans="1:6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</row>
    <row r="3" customFormat="1" spans="1:6">
      <c r="A3" s="3" t="s">
        <v>8</v>
      </c>
      <c r="B3" s="3" t="s">
        <v>9</v>
      </c>
      <c r="C3" s="3" t="s">
        <v>10</v>
      </c>
      <c r="D3" s="3" t="s">
        <v>11</v>
      </c>
      <c r="E3" s="3"/>
      <c r="F3" s="3"/>
    </row>
    <row r="4" customFormat="1" spans="1:6">
      <c r="A4" s="3" t="s">
        <v>12</v>
      </c>
      <c r="B4" s="3" t="s">
        <v>13</v>
      </c>
      <c r="C4" s="3" t="s">
        <v>14</v>
      </c>
      <c r="D4" s="3" t="s">
        <v>15</v>
      </c>
      <c r="E4" s="3"/>
      <c r="F4" s="3"/>
    </row>
    <row r="5" customFormat="1" spans="1:6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/>
    </row>
    <row r="6" customFormat="1" spans="1:6">
      <c r="A6" s="3" t="s">
        <v>20</v>
      </c>
      <c r="B6" s="3" t="s">
        <v>21</v>
      </c>
      <c r="C6" s="3" t="s">
        <v>22</v>
      </c>
      <c r="D6" s="3"/>
      <c r="E6" s="3"/>
      <c r="F6" s="3"/>
    </row>
    <row r="7" customFormat="1" spans="1:6">
      <c r="A7" s="3" t="s">
        <v>23</v>
      </c>
      <c r="B7" s="3" t="s">
        <v>23</v>
      </c>
      <c r="C7" s="3" t="s">
        <v>23</v>
      </c>
      <c r="D7" s="3" t="s">
        <v>23</v>
      </c>
      <c r="E7" s="3"/>
      <c r="F7" s="3"/>
    </row>
    <row r="8" customFormat="1" spans="1:6">
      <c r="A8" s="3" t="s">
        <v>24</v>
      </c>
      <c r="B8" s="3" t="s">
        <v>25</v>
      </c>
      <c r="C8" s="3" t="s">
        <v>26</v>
      </c>
      <c r="D8" s="3" t="s">
        <v>27</v>
      </c>
      <c r="E8" s="3"/>
      <c r="F8" s="3"/>
    </row>
    <row r="9" customFormat="1" spans="1:6">
      <c r="A9" s="3" t="s">
        <v>28</v>
      </c>
      <c r="B9" s="3" t="s">
        <v>29</v>
      </c>
      <c r="C9" s="3" t="s">
        <v>30</v>
      </c>
      <c r="D9" s="3" t="s">
        <v>31</v>
      </c>
      <c r="E9" s="3"/>
      <c r="F9" s="3"/>
    </row>
    <row r="10" customFormat="1" spans="1:6">
      <c r="A10" s="3"/>
      <c r="B10" s="3"/>
      <c r="C10" s="3"/>
      <c r="D10" s="3"/>
      <c r="E10" s="3"/>
      <c r="F10" s="3"/>
    </row>
    <row r="11" customFormat="1" spans="1:6">
      <c r="A11" s="3"/>
      <c r="B11" s="3"/>
      <c r="C11" s="3"/>
      <c r="D11" s="3"/>
      <c r="E11" s="3"/>
      <c r="F1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6" sqref="A6"/>
    </sheetView>
  </sheetViews>
  <sheetFormatPr defaultColWidth="9" defaultRowHeight="14.4" outlineLevelCol="5"/>
  <cols>
    <col min="1" max="1" width="23.1111111111111" customWidth="1"/>
    <col min="2" max="2" width="79.7777777777778" customWidth="1"/>
    <col min="3" max="3" width="59.5555555555556" customWidth="1"/>
    <col min="4" max="4" width="96.5555555555556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3"/>
      <c r="F1" s="3"/>
    </row>
    <row r="2" spans="1:6">
      <c r="A2" s="3" t="s">
        <v>32</v>
      </c>
      <c r="B2" s="3" t="s">
        <v>33</v>
      </c>
      <c r="C2" s="3" t="s">
        <v>34</v>
      </c>
      <c r="D2" s="3" t="s">
        <v>35</v>
      </c>
      <c r="E2" s="3"/>
      <c r="F2" s="3"/>
    </row>
    <row r="3" spans="1:6">
      <c r="A3" s="3" t="s">
        <v>4</v>
      </c>
      <c r="B3" s="3" t="s">
        <v>36</v>
      </c>
      <c r="C3" s="3" t="s">
        <v>6</v>
      </c>
      <c r="D3" s="3" t="s">
        <v>7</v>
      </c>
      <c r="E3" s="3"/>
      <c r="F3" s="3"/>
    </row>
    <row r="4" spans="1:6">
      <c r="A4" s="3" t="s">
        <v>8</v>
      </c>
      <c r="B4" s="3" t="s">
        <v>9</v>
      </c>
      <c r="C4" s="3" t="s">
        <v>10</v>
      </c>
      <c r="D4" s="3" t="s">
        <v>11</v>
      </c>
      <c r="E4" s="3"/>
      <c r="F4" s="3"/>
    </row>
    <row r="5" spans="1:6">
      <c r="A5" s="3" t="s">
        <v>12</v>
      </c>
      <c r="B5" s="3" t="s">
        <v>13</v>
      </c>
      <c r="C5" s="3" t="s">
        <v>14</v>
      </c>
      <c r="D5" s="3" t="s">
        <v>15</v>
      </c>
      <c r="E5" s="3"/>
      <c r="F5" s="3"/>
    </row>
    <row r="6" spans="1:6">
      <c r="A6" s="3" t="s">
        <v>16</v>
      </c>
      <c r="B6" s="3" t="s">
        <v>17</v>
      </c>
      <c r="C6" s="3" t="s">
        <v>18</v>
      </c>
      <c r="D6" s="3" t="s">
        <v>19</v>
      </c>
      <c r="E6" s="3"/>
      <c r="F6" s="3"/>
    </row>
    <row r="7" spans="1:6">
      <c r="A7" s="3" t="s">
        <v>20</v>
      </c>
      <c r="B7" s="3" t="s">
        <v>21</v>
      </c>
      <c r="C7" s="3" t="s">
        <v>22</v>
      </c>
      <c r="D7" s="3"/>
      <c r="E7" s="3"/>
      <c r="F7" s="3"/>
    </row>
    <row r="8" spans="1:6">
      <c r="A8" s="3" t="s">
        <v>23</v>
      </c>
      <c r="B8" s="3" t="s">
        <v>23</v>
      </c>
      <c r="C8" s="3" t="s">
        <v>23</v>
      </c>
      <c r="D8" s="3" t="s">
        <v>23</v>
      </c>
      <c r="E8" s="3"/>
      <c r="F8" s="3"/>
    </row>
    <row r="9" spans="1:6">
      <c r="A9" s="3" t="s">
        <v>24</v>
      </c>
      <c r="B9" s="3" t="s">
        <v>25</v>
      </c>
      <c r="C9" s="3" t="s">
        <v>26</v>
      </c>
      <c r="D9" s="3" t="s">
        <v>27</v>
      </c>
      <c r="E9" s="3"/>
      <c r="F9" s="3"/>
    </row>
    <row r="10" spans="1:6">
      <c r="A10" s="3" t="s">
        <v>28</v>
      </c>
      <c r="B10" s="3" t="s">
        <v>29</v>
      </c>
      <c r="C10" s="3" t="s">
        <v>30</v>
      </c>
      <c r="D10" s="3" t="s">
        <v>31</v>
      </c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21" sqref="C21"/>
    </sheetView>
  </sheetViews>
  <sheetFormatPr defaultColWidth="9" defaultRowHeight="14.4" outlineLevelRow="5" outlineLevelCol="6"/>
  <cols>
    <col min="1" max="1" width="27.2222222222222" customWidth="1"/>
    <col min="2" max="2" width="29.5555555555556" customWidth="1"/>
    <col min="3" max="3" width="71.3333333333333" customWidth="1"/>
  </cols>
  <sheetData>
    <row r="1" customFormat="1" spans="1:7">
      <c r="A1" s="3" t="s">
        <v>37</v>
      </c>
      <c r="B1" s="3" t="s">
        <v>38</v>
      </c>
      <c r="C1" s="3" t="s">
        <v>39</v>
      </c>
      <c r="D1" s="3"/>
      <c r="E1" s="3"/>
      <c r="F1" s="3"/>
      <c r="G1" s="3"/>
    </row>
    <row r="2" customFormat="1" spans="1:7">
      <c r="A2" s="3" t="s">
        <v>40</v>
      </c>
      <c r="B2" s="3">
        <v>200</v>
      </c>
      <c r="C2" s="3" t="s">
        <v>41</v>
      </c>
      <c r="D2" s="3"/>
      <c r="E2" s="3"/>
      <c r="F2" s="3"/>
      <c r="G2" s="3"/>
    </row>
    <row r="3" customFormat="1" spans="1:7">
      <c r="A3" s="3" t="s">
        <v>42</v>
      </c>
      <c r="B3" s="3">
        <v>10000</v>
      </c>
      <c r="C3" s="3" t="s">
        <v>43</v>
      </c>
      <c r="D3" s="3"/>
      <c r="E3" s="3"/>
      <c r="F3" s="3"/>
      <c r="G3" s="3"/>
    </row>
    <row r="4" customFormat="1" spans="1:7">
      <c r="A4" s="3" t="s">
        <v>44</v>
      </c>
      <c r="B4" s="3">
        <v>1000</v>
      </c>
      <c r="C4" s="3" t="s">
        <v>45</v>
      </c>
      <c r="D4" s="3"/>
      <c r="E4" s="3"/>
      <c r="F4" s="3"/>
      <c r="G4" s="3"/>
    </row>
    <row r="5" customFormat="1" spans="1:7">
      <c r="A5" s="3" t="s">
        <v>46</v>
      </c>
      <c r="B5" s="3">
        <v>10</v>
      </c>
      <c r="C5" s="3" t="s">
        <v>47</v>
      </c>
      <c r="D5" s="3"/>
      <c r="E5" s="3"/>
      <c r="F5" s="3"/>
      <c r="G5" s="3"/>
    </row>
    <row r="6" customFormat="1" spans="1:7">
      <c r="A6" t="s">
        <v>48</v>
      </c>
      <c r="B6">
        <v>1</v>
      </c>
      <c r="C6" t="s">
        <v>49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85" zoomScaleNormal="85" workbookViewId="0">
      <selection activeCell="E8" sqref="E8"/>
    </sheetView>
  </sheetViews>
  <sheetFormatPr defaultColWidth="8.88888888888889" defaultRowHeight="14.4" outlineLevelCol="7"/>
  <cols>
    <col min="4" max="4" width="9.11111111111111" customWidth="1"/>
    <col min="5" max="5" width="19.0833333333333" customWidth="1"/>
    <col min="6" max="6" width="25.8796296296296" customWidth="1"/>
    <col min="7" max="7" width="19.3425925925926" customWidth="1"/>
    <col min="8" max="8" width="18.1111111111111" customWidth="1"/>
  </cols>
  <sheetData>
    <row r="1" customFormat="1" spans="1:8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customFormat="1" spans="1:8">
      <c r="A2">
        <v>1</v>
      </c>
      <c r="B2" s="1">
        <v>60</v>
      </c>
      <c r="C2" s="1">
        <v>280</v>
      </c>
      <c r="D2" s="1">
        <v>25</v>
      </c>
      <c r="E2" s="2">
        <v>1</v>
      </c>
      <c r="F2" s="2">
        <f>'5-标准敌人表'!C2/(MAX('3-常数表'!$B$6,(B2-'5-标准敌人表'!D2)*E2))</f>
        <v>8</v>
      </c>
      <c r="G2" s="2"/>
      <c r="H2" s="2">
        <f>'5-标准敌人表'!C3/(MAX('3-常数表'!$B$6,(B2-'5-标准敌人表'!D2)*E2))</f>
        <v>33.4</v>
      </c>
    </row>
    <row r="3" customFormat="1" spans="1:8">
      <c r="A3">
        <v>2</v>
      </c>
      <c r="B3" s="1">
        <v>100</v>
      </c>
      <c r="C3" s="1">
        <v>467</v>
      </c>
      <c r="D3" s="1">
        <v>42</v>
      </c>
      <c r="E3" s="2">
        <v>2</v>
      </c>
      <c r="F3" s="2">
        <f>'5-标准敌人表'!C3/(MAX('3-常数表'!$B$6,(B3-'5-标准敌人表'!D3)*E3))</f>
        <v>9.97014925373134</v>
      </c>
      <c r="G3">
        <f>'5-标准敌人表'!C2/(MAX('3-常数表'!$B$6,(B3-'5-标准敌人表'!D3)*E3))</f>
        <v>2.38805970149254</v>
      </c>
      <c r="H3" s="2">
        <f>'5-标准敌人表'!C4/(MAX('3-常数表'!$B$6,(B3-'5-标准敌人表'!D3)*E3))</f>
        <v>26.5671641791045</v>
      </c>
    </row>
    <row r="4" customFormat="1" spans="1:8">
      <c r="A4">
        <v>3</v>
      </c>
      <c r="B4" s="1">
        <v>167</v>
      </c>
      <c r="C4" s="1">
        <v>779</v>
      </c>
      <c r="D4" s="1">
        <v>70</v>
      </c>
      <c r="E4" s="2">
        <v>3</v>
      </c>
      <c r="F4" s="2">
        <f>'5-标准敌人表'!C4/(MAX('3-常数表'!$B$6,(B4-'5-标准敌人表'!D4)*E4))</f>
        <v>10.6906906906907</v>
      </c>
      <c r="G4">
        <f>'5-标准敌人表'!C3/(MAX('3-常数表'!$B$6,(B4-'5-标准敌人表'!D4)*E4))</f>
        <v>4.01201201201201</v>
      </c>
      <c r="H4" s="2">
        <f>'5-标准敌人表'!C5/(MAX('3-常数表'!$B$6,(B4-'5-标准敌人表'!D4)*E4))</f>
        <v>24.4804804804805</v>
      </c>
    </row>
    <row r="5" customFormat="1" spans="1:8">
      <c r="A5">
        <v>4</v>
      </c>
      <c r="B5" s="1">
        <v>278</v>
      </c>
      <c r="C5" s="1">
        <v>1300</v>
      </c>
      <c r="D5" s="1">
        <v>116</v>
      </c>
      <c r="E5" s="2">
        <v>4</v>
      </c>
      <c r="F5" s="2">
        <f>'5-标准敌人表'!C5/(MAX('3-常数表'!$B$6,(B5-'5-标准敌人表'!D5)*E5))</f>
        <v>11.0162162162162</v>
      </c>
      <c r="G5">
        <f>'5-标准敌人表'!C4/(MAX('3-常数表'!$B$6,(B5-'5-标准敌人表'!D5)*E5))</f>
        <v>4.81081081081081</v>
      </c>
      <c r="H5" s="2">
        <f>'5-标准敌人表'!C6/(MAX('3-常数表'!$B$6,(B5-'5-标准敌人表'!D5)*E5))</f>
        <v>23.4594594594595</v>
      </c>
    </row>
    <row r="6" customFormat="1" spans="1:8">
      <c r="A6">
        <v>5</v>
      </c>
      <c r="B6" s="1">
        <v>465</v>
      </c>
      <c r="C6" s="1">
        <v>2168</v>
      </c>
      <c r="D6" s="1">
        <v>194</v>
      </c>
      <c r="E6" s="2">
        <v>5</v>
      </c>
      <c r="F6" s="2">
        <f>'5-标准敌人表'!C6/(MAX('3-常数表'!$B$6,(B6-'5-标准敌人表'!D6)*E6))</f>
        <v>11.2</v>
      </c>
      <c r="G6">
        <f>'5-标准敌人表'!C5/(MAX('3-常数表'!$B$6,(B6-'5-标准敌人表'!D6)*E6))</f>
        <v>5.25935483870968</v>
      </c>
      <c r="H6" s="2">
        <f>'5-标准敌人表'!C7/(MAX('3-常数表'!$B$6,(B6-'5-标准敌人表'!D6)*E6))</f>
        <v>22.6683870967742</v>
      </c>
    </row>
    <row r="7" customFormat="1" spans="1:8">
      <c r="A7">
        <v>6</v>
      </c>
      <c r="B7" s="1">
        <v>775</v>
      </c>
      <c r="C7" s="1">
        <v>3616</v>
      </c>
      <c r="D7" s="1">
        <v>323</v>
      </c>
      <c r="E7" s="2">
        <v>6</v>
      </c>
      <c r="F7" s="2">
        <f>'5-标准敌人表'!C7/(MAX('3-常数表'!$B$6,(B7-'5-标准敌人表'!D7)*E7))</f>
        <v>11.3268858800774</v>
      </c>
      <c r="G7">
        <f>'5-标准敌人表'!C6/(MAX('3-常数表'!$B$6,(B7-'5-标准敌人表'!D7)*E7))</f>
        <v>5.59638942617666</v>
      </c>
      <c r="H7" s="2">
        <f>'5-标准敌人表'!C8/(MAX('3-常数表'!$B$6,(B7-'5-标准敌人表'!D7)*E7))</f>
        <v>18.896196002579</v>
      </c>
    </row>
    <row r="8" customFormat="1" spans="1:8">
      <c r="A8">
        <v>7</v>
      </c>
      <c r="B8" s="1">
        <v>1293</v>
      </c>
      <c r="C8" s="1">
        <v>6032</v>
      </c>
      <c r="D8" s="1">
        <v>539</v>
      </c>
      <c r="E8">
        <v>6</v>
      </c>
      <c r="F8" s="2">
        <f>'5-标准敌人表'!C8/(MAX('3-常数表'!$B$6,(B8-'5-标准敌人表'!D8)*E8))</f>
        <v>11.3333333333333</v>
      </c>
      <c r="G8">
        <f>'5-标准敌人表'!C7/(MAX('3-常数表'!$B$6,(B8-'5-标准敌人表'!D8)*E8))</f>
        <v>6.79350348027842</v>
      </c>
      <c r="H8" s="2">
        <f>'5-标准敌人表'!C9/(MAX('3-常数表'!$B$6,(B8-'5-标准敌人表'!D8)*E8))</f>
        <v>18.8971384377417</v>
      </c>
    </row>
    <row r="9" customFormat="1" spans="1:8">
      <c r="A9">
        <v>8</v>
      </c>
      <c r="B9" s="1">
        <v>2156</v>
      </c>
      <c r="C9" s="1">
        <v>10063</v>
      </c>
      <c r="D9" s="1">
        <v>898</v>
      </c>
      <c r="E9">
        <v>6</v>
      </c>
      <c r="F9" s="2">
        <f>'5-标准敌人表'!C9/(MAX('3-常数表'!$B$6,(B9-'5-标准敌人表'!D9)*E9))</f>
        <v>11.3356529807469</v>
      </c>
      <c r="G9">
        <f>'5-标准敌人表'!C8/(MAX('3-常数表'!$B$6,(B9-'5-标准敌人表'!D9)*E9))</f>
        <v>6.79842263975876</v>
      </c>
      <c r="H9" s="2">
        <f>'5-标准敌人表'!C10/(MAX('3-常数表'!$B$6,(B9-'5-标准敌人表'!D9)*E9))</f>
        <v>18.9125492925075</v>
      </c>
    </row>
    <row r="10" customFormat="1" spans="1:8">
      <c r="A10">
        <v>9</v>
      </c>
      <c r="B10" s="1">
        <v>3597</v>
      </c>
      <c r="C10" s="1">
        <v>16786</v>
      </c>
      <c r="D10" s="1">
        <v>1499</v>
      </c>
      <c r="E10">
        <v>6</v>
      </c>
      <c r="F10" s="2">
        <f>'5-标准敌人表'!C10/(MAX('3-常数表'!$B$6,(B10-'5-标准敌人表'!D10)*E10))</f>
        <v>11.3333333333333</v>
      </c>
      <c r="G10">
        <f>'5-标准敌人表'!C9/(MAX('3-常数表'!$B$6,(B10-'5-标准敌人表'!D10)*E10))</f>
        <v>6.79288295802057</v>
      </c>
      <c r="H10" s="2">
        <f>'5-标准敌人表'!C11/(MAX('3-常数表'!$B$6,(B10-'5-标准敌人表'!D10)*E10))</f>
        <v>18.9046427578538</v>
      </c>
    </row>
    <row r="11" customFormat="1" spans="1:8">
      <c r="A11">
        <v>10</v>
      </c>
      <c r="B11" s="1">
        <v>6000</v>
      </c>
      <c r="C11" s="1">
        <v>28000</v>
      </c>
      <c r="D11" s="1">
        <v>2500</v>
      </c>
      <c r="E11">
        <v>6</v>
      </c>
      <c r="F11" s="2">
        <f>'5-标准敌人表'!C11/(MAX('3-常数表'!$B$6,(B11-'5-标准敌人表'!D11)*E11))</f>
        <v>11.3333333333333</v>
      </c>
      <c r="G11">
        <f>'5-标准敌人表'!C10/(MAX('3-常数表'!$B$6,(B11-'5-标准敌人表'!D11)*E11))</f>
        <v>6.79433333333333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2" sqref="B2:D11"/>
    </sheetView>
  </sheetViews>
  <sheetFormatPr defaultColWidth="8.88888888888889" defaultRowHeight="14.4" outlineLevelCol="7"/>
  <cols>
    <col min="4" max="4" width="9.11111111111111" customWidth="1"/>
    <col min="5" max="5" width="12.1111111111111" customWidth="1"/>
    <col min="6" max="6" width="39" customWidth="1"/>
    <col min="7" max="7" width="25.1111111111111" customWidth="1"/>
    <col min="8" max="8" width="24.6666666666667" customWidth="1"/>
    <col min="9" max="9" width="37.4444444444444" customWidth="1"/>
    <col min="10" max="10" width="24.6666666666667" customWidth="1"/>
  </cols>
  <sheetData>
    <row r="1" customFormat="1" spans="1:8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58</v>
      </c>
      <c r="G1" t="s">
        <v>59</v>
      </c>
      <c r="H1" t="s">
        <v>60</v>
      </c>
    </row>
    <row r="2" customFormat="1" spans="1:8">
      <c r="A2">
        <v>1</v>
      </c>
      <c r="B2" s="1">
        <v>54</v>
      </c>
      <c r="C2" s="1">
        <v>320</v>
      </c>
      <c r="D2" s="1">
        <v>20</v>
      </c>
      <c r="E2">
        <v>1</v>
      </c>
      <c r="F2" s="2">
        <f>('4-标准士兵表'!C2*'4-标准士兵表'!E2)/MAX('3-常数表'!$B$6,B2-'4-标准士兵表'!D2)</f>
        <v>9.6551724137931</v>
      </c>
      <c r="G2" s="2"/>
      <c r="H2" s="2">
        <f>('4-标准士兵表'!C3*'4-标准士兵表'!E3)/MAX('3-常数表'!$B$6,B2-'4-标准士兵表'!D3)</f>
        <v>77.8333333333333</v>
      </c>
    </row>
    <row r="3" customFormat="1" spans="1:8">
      <c r="A3">
        <v>2</v>
      </c>
      <c r="B3" s="1">
        <v>89</v>
      </c>
      <c r="C3" s="1">
        <v>1336</v>
      </c>
      <c r="D3" s="1">
        <v>33</v>
      </c>
      <c r="E3">
        <v>1</v>
      </c>
      <c r="F3" s="2">
        <f>('4-标准士兵表'!C3*'4-标准士兵表'!E3)/MAX('3-常数表'!$B$6,B3-'4-标准士兵表'!D3)</f>
        <v>19.8723404255319</v>
      </c>
      <c r="G3">
        <f>('4-标准士兵表'!C2*'4-标准士兵表'!E2)/MAX('3-常数表'!$B$6,B3-'4-标准士兵表'!D2)</f>
        <v>4.375</v>
      </c>
      <c r="H3" s="2">
        <f>('4-标准士兵表'!C4*'4-标准士兵表'!E4)/MAX('3-常数表'!$B$6,B3-'4-标准士兵表'!D4)</f>
        <v>123</v>
      </c>
    </row>
    <row r="4" customFormat="1" spans="1:8">
      <c r="A4">
        <v>3</v>
      </c>
      <c r="B4" s="1">
        <v>187</v>
      </c>
      <c r="C4" s="1">
        <v>3560</v>
      </c>
      <c r="D4" s="1">
        <v>56</v>
      </c>
      <c r="E4">
        <v>1</v>
      </c>
      <c r="F4" s="2">
        <f>('4-标准士兵表'!C4*'4-标准士兵表'!E4)/MAX('3-常数表'!$B$6,B4-'4-标准士兵表'!D4)</f>
        <v>19.974358974359</v>
      </c>
      <c r="G4">
        <f>('4-标准士兵表'!C3*'4-标准士兵表'!E3)/MAX('3-常数表'!$B$6,B4-'4-标准士兵表'!D3)</f>
        <v>6.44137931034483</v>
      </c>
      <c r="H4" s="2">
        <f>('4-标准士兵表'!C5*'4-标准士兵表'!E5)/MAX('3-常数表'!$B$6,B4-'4-标准士兵表'!D5)</f>
        <v>73.2394366197183</v>
      </c>
    </row>
    <row r="5" customFormat="1" spans="1:8">
      <c r="A5">
        <v>4</v>
      </c>
      <c r="B5" s="1">
        <v>376</v>
      </c>
      <c r="C5" s="1">
        <v>8152</v>
      </c>
      <c r="D5" s="1">
        <v>93</v>
      </c>
      <c r="E5">
        <v>1</v>
      </c>
      <c r="F5" s="2">
        <f>('4-标准士兵表'!C5*'4-标准士兵表'!E5)/MAX('3-常数表'!$B$6,B5-'4-标准士兵表'!D5)</f>
        <v>20</v>
      </c>
      <c r="G5">
        <f>('4-标准士兵表'!C4*'4-标准士兵表'!E4)/MAX('3-常数表'!$B$6,B5-'4-标准士兵表'!D4)</f>
        <v>7.63725490196078</v>
      </c>
      <c r="H5" s="2">
        <f>('4-标准士兵表'!C6*'4-标准士兵表'!E6)/MAX('3-常数表'!$B$6,B5-'4-标准士兵表'!D6)</f>
        <v>59.5604395604396</v>
      </c>
    </row>
    <row r="6" customFormat="1" spans="1:8">
      <c r="A6">
        <v>5</v>
      </c>
      <c r="B6" s="1">
        <v>736</v>
      </c>
      <c r="C6" s="1">
        <v>17360</v>
      </c>
      <c r="D6" s="1">
        <v>155</v>
      </c>
      <c r="E6">
        <v>1</v>
      </c>
      <c r="F6" s="2">
        <f>('4-标准士兵表'!C6*'4-标准士兵表'!E6)/MAX('3-常数表'!$B$6,B6-'4-标准士兵表'!D6)</f>
        <v>20</v>
      </c>
      <c r="G6">
        <f>('4-标准士兵表'!C5*'4-标准士兵表'!E5)/MAX('3-常数表'!$B$6,B6-'4-标准士兵表'!D5)</f>
        <v>8.38709677419355</v>
      </c>
      <c r="H6" s="2">
        <f>('4-标准士兵表'!C7*'4-标准士兵表'!E7)/MAX('3-常数表'!$B$6,B6-'4-标准士兵表'!D7)</f>
        <v>52.5326876513317</v>
      </c>
    </row>
    <row r="7" customFormat="1" spans="1:8">
      <c r="A7">
        <v>6</v>
      </c>
      <c r="B7" s="1">
        <v>1408</v>
      </c>
      <c r="C7" s="1">
        <v>35136</v>
      </c>
      <c r="D7" s="1">
        <v>258</v>
      </c>
      <c r="E7">
        <v>1</v>
      </c>
      <c r="F7" s="2">
        <f>('4-标准士兵表'!C7*'4-标准士兵表'!E7)/MAX('3-常数表'!$B$6,B7-'4-标准士兵表'!D7)</f>
        <v>19.9963133640553</v>
      </c>
      <c r="G7">
        <f>('4-标准士兵表'!C6*'4-标准士兵表'!E6)/MAX('3-常数表'!$B$6,B7-'4-标准士兵表'!D6)</f>
        <v>8.92915980230642</v>
      </c>
      <c r="H7" s="2">
        <f>('4-标准士兵表'!C8*'4-标准士兵表'!E8)/MAX('3-常数表'!$B$6,B7-'4-标准士兵表'!D8)</f>
        <v>41.6478711162255</v>
      </c>
    </row>
    <row r="8" customFormat="1" spans="1:8">
      <c r="A8">
        <v>7</v>
      </c>
      <c r="B8" s="1">
        <v>2349</v>
      </c>
      <c r="C8" s="1">
        <v>58616</v>
      </c>
      <c r="D8" s="1">
        <v>431</v>
      </c>
      <c r="E8">
        <v>1</v>
      </c>
      <c r="F8" s="2">
        <f>('4-标准士兵表'!C8*'4-标准士兵表'!E8)/MAX('3-常数表'!$B$6,B8-'4-标准士兵表'!D8)</f>
        <v>19.9955801104972</v>
      </c>
      <c r="G8">
        <f>('4-标准士兵表'!C7*'4-标准士兵表'!E7)/MAX('3-常数表'!$B$6,B8-'4-标准士兵表'!D7)</f>
        <v>10.7087857847976</v>
      </c>
      <c r="H8" s="2">
        <f>('4-标准士兵表'!C9*'4-标准士兵表'!E9)/MAX('3-常数表'!$B$6,B8-'4-标准士兵表'!D9)</f>
        <v>41.6113025499655</v>
      </c>
    </row>
    <row r="9" customFormat="1" spans="1:8">
      <c r="A9">
        <v>8</v>
      </c>
      <c r="B9" s="1">
        <v>3917</v>
      </c>
      <c r="C9" s="1">
        <v>97736</v>
      </c>
      <c r="D9" s="1">
        <v>719</v>
      </c>
      <c r="E9">
        <v>1</v>
      </c>
      <c r="F9" s="2">
        <f>('4-标准士兵表'!C9*'4-标准士兵表'!E9)/MAX('3-常数表'!$B$6,B9-'4-标准士兵表'!D9)</f>
        <v>19.9993375289831</v>
      </c>
      <c r="G9">
        <f>('4-标准士兵表'!C8*'4-标准士兵表'!E8)/MAX('3-常数表'!$B$6,B9-'4-标准士兵表'!D8)</f>
        <v>10.7140319715808</v>
      </c>
      <c r="H9" s="2">
        <f>('4-标准士兵表'!C10*'4-标准士兵表'!E10)/MAX('3-常数表'!$B$6,B9-'4-标准士兵表'!D10)</f>
        <v>41.6526054590571</v>
      </c>
    </row>
    <row r="10" customFormat="1" spans="1:8">
      <c r="A10">
        <v>9</v>
      </c>
      <c r="B10" s="1">
        <v>6535</v>
      </c>
      <c r="C10" s="1">
        <v>163064</v>
      </c>
      <c r="D10" s="1">
        <v>1199</v>
      </c>
      <c r="E10">
        <v>1</v>
      </c>
      <c r="F10" s="2">
        <f>('4-标准士兵表'!C10*'4-标准士兵表'!E10)/MAX('3-常数表'!$B$6,B10-'4-标准士兵表'!D10)</f>
        <v>19.9992057188245</v>
      </c>
      <c r="G10">
        <f>('4-标准士兵表'!C9*'4-标准士兵表'!E9)/MAX('3-常数表'!$B$6,B10-'4-标准士兵表'!D9)</f>
        <v>10.7110164981373</v>
      </c>
      <c r="H10" s="2">
        <f>('4-标准士兵表'!C11*'4-标准士兵表'!E11)/MAX('3-常数表'!$B$6,B10-'4-标准士兵表'!D11)</f>
        <v>41.635687732342</v>
      </c>
    </row>
    <row r="11" customFormat="1" spans="1:8">
      <c r="A11">
        <v>10</v>
      </c>
      <c r="B11" s="1">
        <v>10900</v>
      </c>
      <c r="C11" s="1">
        <v>272000</v>
      </c>
      <c r="D11" s="1">
        <v>2000</v>
      </c>
      <c r="E11">
        <v>1</v>
      </c>
      <c r="F11" s="2">
        <f>('4-标准士兵表'!C11*'4-标准士兵表'!E11)/MAX('3-常数表'!$B$6,B11-'4-标准士兵表'!D11)</f>
        <v>20</v>
      </c>
      <c r="G11">
        <f>('4-标准士兵表'!C10*'4-标准士兵表'!E10)/MAX('3-常数表'!$B$6,B11-'4-标准士兵表'!D10)</f>
        <v>10.7133283693224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1-基础属性说明</vt:lpstr>
      <vt:lpstr>2-公式表</vt:lpstr>
      <vt:lpstr>3-常数表</vt:lpstr>
      <vt:lpstr>4-标准士兵表</vt:lpstr>
      <vt:lpstr>5-标准敌人表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jiachengwei</dc:creator>
  <cp:lastModifiedBy>微信用户</cp:lastModifiedBy>
  <dcterms:created xsi:type="dcterms:W3CDTF">2023-05-12T11:15:00Z</dcterms:created>
  <dcterms:modified xsi:type="dcterms:W3CDTF">2026-03-20T08:00:36Z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423308F1300B44A5A3A5EFEF1C05CE8B_12</vt:lpwstr>
  </property>
  <property fmtid="{D5CDD505-2E9C-101B-9397-08002B2CF9AE}" pid="4" name="CalculationRule">
    <vt:i4>0</vt:i4>
  </property>
</Properties>
</file>